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R55\OneDrive\Desktop\"/>
    </mc:Choice>
  </mc:AlternateContent>
  <xr:revisionPtr revIDLastSave="0" documentId="13_ncr:1_{B5355399-1283-42DE-BBA0-ECEF2F78F3FA}" xr6:coauthVersionLast="47" xr6:coauthVersionMax="47" xr10:uidLastSave="{00000000-0000-0000-0000-000000000000}"/>
  <bookViews>
    <workbookView xWindow="-108" yWindow="-108" windowWidth="23256" windowHeight="12456" activeTab="1" xr2:uid="{62332088-5D14-4792-8BEF-3E4CC93F4B4F}"/>
  </bookViews>
  <sheets>
    <sheet name="pivot tables" sheetId="2" r:id="rId1"/>
    <sheet name="dashboard" sheetId="3" r:id="rId2"/>
    <sheet name="source data" sheetId="1" r:id="rId3"/>
  </sheets>
  <definedNames>
    <definedName name="_xlnm._FilterDatabase" localSheetId="2" hidden="1">'source data'!$B$2:$B$8</definedName>
    <definedName name="Slicer_Months__Date">#N/A</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<sst xmlns="http://schemas.openxmlformats.org/spreadsheetml/2006/main" count="213" uniqueCount="73">
  <si>
    <t>Lahore</t>
  </si>
  <si>
    <t>City</t>
  </si>
  <si>
    <t>Ali</t>
  </si>
  <si>
    <t>Sara</t>
  </si>
  <si>
    <t>Karachi</t>
  </si>
  <si>
    <t>Ahmed</t>
  </si>
  <si>
    <t>Fatima</t>
  </si>
  <si>
    <t>Islamabad</t>
  </si>
  <si>
    <t>Bilal</t>
  </si>
  <si>
    <t>Ayesha</t>
  </si>
  <si>
    <t>Date</t>
  </si>
  <si>
    <t>Product</t>
  </si>
  <si>
    <t>Category</t>
  </si>
  <si>
    <t>Sales Rep</t>
  </si>
  <si>
    <t>Price</t>
  </si>
  <si>
    <t>Amount</t>
  </si>
  <si>
    <t>Laptop</t>
  </si>
  <si>
    <t>Electronics</t>
  </si>
  <si>
    <t>Mobile</t>
  </si>
  <si>
    <t>Chair</t>
  </si>
  <si>
    <t>Furniture</t>
  </si>
  <si>
    <t>Printer</t>
  </si>
  <si>
    <t>Faisalabad</t>
  </si>
  <si>
    <t>Desk</t>
  </si>
  <si>
    <t>Multan</t>
  </si>
  <si>
    <t>Notebook</t>
  </si>
  <si>
    <t>Stationery</t>
  </si>
  <si>
    <t>Pen</t>
  </si>
  <si>
    <t>Monitor</t>
  </si>
  <si>
    <t>Peshawar</t>
  </si>
  <si>
    <t>Mouse</t>
  </si>
  <si>
    <t>Keyboard</t>
  </si>
  <si>
    <t>Sofa</t>
  </si>
  <si>
    <t>Whiteboard</t>
  </si>
  <si>
    <t>Office</t>
  </si>
  <si>
    <t>Table</t>
  </si>
  <si>
    <t>Scanner</t>
  </si>
  <si>
    <t>File Folder</t>
  </si>
  <si>
    <t>Calculator</t>
  </si>
  <si>
    <t>Headphones</t>
  </si>
  <si>
    <t>Bookshelf</t>
  </si>
  <si>
    <t>Marker</t>
  </si>
  <si>
    <t>Webcam</t>
  </si>
  <si>
    <t>Tablet</t>
  </si>
  <si>
    <t>Office Chair</t>
  </si>
  <si>
    <t>USB Drive</t>
  </si>
  <si>
    <t>Printer Ink</t>
  </si>
  <si>
    <t>Router</t>
  </si>
  <si>
    <t>Desk Lamp</t>
  </si>
  <si>
    <t>Mouse Pad</t>
  </si>
  <si>
    <t>Cabinet</t>
  </si>
  <si>
    <t>Sticky Notes</t>
  </si>
  <si>
    <t>Projector</t>
  </si>
  <si>
    <t>Pen Set</t>
  </si>
  <si>
    <t>Speaker</t>
  </si>
  <si>
    <t>Diary</t>
  </si>
  <si>
    <t>Office Desk</t>
  </si>
  <si>
    <t>No of unit</t>
  </si>
  <si>
    <t>Row Labels</t>
  </si>
  <si>
    <t>Grand Total</t>
  </si>
  <si>
    <t>Sum of Amount</t>
  </si>
  <si>
    <t>Jan</t>
  </si>
  <si>
    <t>Feb</t>
  </si>
  <si>
    <t>Mar</t>
  </si>
  <si>
    <t>Apr</t>
  </si>
  <si>
    <t>May</t>
  </si>
  <si>
    <t>Jun</t>
  </si>
  <si>
    <t>Jul</t>
  </si>
  <si>
    <t>Aug</t>
  </si>
  <si>
    <t>Sept</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</si>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</sst>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0" fillId="0" borderId="0" xfId="0" applyAlignment="1">
      <alignment horizontal="left"/>
    </xf>
    <xf numFmtId="0" fontId="0" fillId="0" borderId="0" xfId="0" applyAlignment="1">
      <alignment horizontal="left" vertical="center" wrapText="1"/>
    </xf>
    <xf numFmtId="15" fontId="0" fillId="0" borderId="0" xfId="0" applyNumberFormat="1" applyAlignment="1">
      <alignment horizontal="left" vertical="center" wrapText="1"/>
    </xf>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0" fillId="3" borderId="0" xfId="0" applyFill="1"/>
    <xf numFmtId="0" fontId="0" fillId="0" borderId="0" xfId="0" pivotButton="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[Book1.xlsx]pivot tables!city</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sales by city</a:t>
            </a:r>
          </a:p>
          <a:p>
            <a:pPr>
              <a:defRPr>
                <a:solidFill>
                  <a:srgbClr val="FF0000"/>
                </a:solidFill>
              </a:defRPr>
            </a:pP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Islamabad</c:v>
                </c:pt>
                <c:pt idx="1">
                  <c:v>Karachi</c:v>
                </c:pt>
                <c:pt idx="2">
                  <c:v>Lahore</c:v>
                </c:pt>
                <c:pt idx="3">
                  <c:v>Multan</c:v>
                </c:pt>
                <c:pt idx="4">
                  <c:v>Peshawar</c:v>
                </c:pt>
              </c:strCache>
            </c:strRef>
          </c:cat>
          <c:val>
            <c:numRef>
              <c:f>'pivot tables'!$B$4:$B$9</c:f>
              <c:numCache>
                <c:formatCode>#,##0</c:formatCode>
                <c:ptCount val="5"/>
                <c:pt idx="0">
                  <c:v>1320</c:v>
                </c:pt>
                <c:pt idx="1">
                  <c:v>2700</c:v>
                </c:pt>
                <c:pt idx="2">
                  <c:v>245</c:v>
                </c:pt>
                <c:pt idx="3">
                  <c:v>1450</c:v>
                </c:pt>
                <c:pt idx="4">
                  <c:v>1120</c:v>
                </c:pt>
              </c:numCache>
            </c:numRef>
          </c:val>
          <c:smooth val="0"/>
          <c:extLst>
            <c:ext xmlns:c16="http://schemas.microsoft.com/office/drawing/2014/chart" uri="{C3380CC4-5D6E-409C-BE32-E72D297353CC}">
              <c16:uniqueId val="{00000000-EC6B-4754-90B6-365E2BD89B1A}"/>
            </c:ext>
          </c:extLst>
        </c:ser>
        <c:dLbls>
          <c:dLblPos val="t"/>
          <c:showLegendKey val="0"/>
          <c:showVal val="1"/>
          <c:showCatName val="0"/>
          <c:showSerName val="0"/>
          <c:showPercent val="0"/>
          <c:showBubbleSize val="0"/>
        </c:dLbls>
        <c:smooth val="0"/>
        <c:axId val="2038005552"/>
        <c:axId val="1590360080"/>
      </c:lineChart>
      <c:catAx>
        <c:axId val="203800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0360080"/>
        <c:crosses val="autoZero"/>
        <c:auto val="1"/>
        <c:lblAlgn val="ctr"/>
        <c:lblOffset val="100"/>
        <c:noMultiLvlLbl val="0"/>
      </c:catAx>
      <c:valAx>
        <c:axId val="159036008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3800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tables!product</c:name>
    <c:fmtId val="4"/>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productwise</a:t>
            </a:r>
            <a:r>
              <a:rPr lang="en-US" baseline="0">
                <a:solidFill>
                  <a:srgbClr val="FF0000"/>
                </a:solidFill>
              </a:rPr>
              <a:t> sa</a:t>
            </a:r>
            <a:r>
              <a:rPr lang="en-US">
                <a:solidFill>
                  <a:srgbClr val="FF0000"/>
                </a:solidFill>
              </a:rPr>
              <a:t>les</a:t>
            </a:r>
          </a:p>
          <a:p>
            <a:pPr>
              <a:defRPr>
                <a:solidFill>
                  <a:srgbClr val="FF0000"/>
                </a:solidFill>
              </a:defRPr>
            </a:pP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Chair</c:v>
                </c:pt>
                <c:pt idx="1">
                  <c:v>Diary</c:v>
                </c:pt>
                <c:pt idx="2">
                  <c:v>Laptop</c:v>
                </c:pt>
                <c:pt idx="3">
                  <c:v>Monitor</c:v>
                </c:pt>
                <c:pt idx="4">
                  <c:v>Office Desk</c:v>
                </c:pt>
              </c:strCache>
            </c:strRef>
          </c:cat>
          <c:val>
            <c:numRef>
              <c:f>'pivot tables'!$F$4:$F$9</c:f>
              <c:numCache>
                <c:formatCode>#,##0</c:formatCode>
                <c:ptCount val="5"/>
                <c:pt idx="0">
                  <c:v>1320</c:v>
                </c:pt>
                <c:pt idx="1">
                  <c:v>245</c:v>
                </c:pt>
                <c:pt idx="2">
                  <c:v>2700</c:v>
                </c:pt>
                <c:pt idx="3">
                  <c:v>1450</c:v>
                </c:pt>
                <c:pt idx="4">
                  <c:v>1120</c:v>
                </c:pt>
              </c:numCache>
            </c:numRef>
          </c:val>
          <c:extLst>
            <c:ext xmlns:c16="http://schemas.microsoft.com/office/drawing/2014/chart" uri="{C3380CC4-5D6E-409C-BE32-E72D297353CC}">
              <c16:uniqueId val="{00000000-97E6-43ED-A926-C3052C06C6CF}"/>
            </c:ext>
          </c:extLst>
        </c:ser>
        <c:dLbls>
          <c:showLegendKey val="0"/>
          <c:showVal val="0"/>
          <c:showCatName val="0"/>
          <c:showSerName val="0"/>
          <c:showPercent val="0"/>
          <c:showBubbleSize val="0"/>
        </c:dLbls>
        <c:gapWidth val="219"/>
        <c:overlap val="-27"/>
        <c:axId val="52396208"/>
        <c:axId val="1590364400"/>
      </c:barChart>
      <c:catAx>
        <c:axId val="5239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64400"/>
        <c:crosses val="autoZero"/>
        <c:auto val="1"/>
        <c:lblAlgn val="ctr"/>
        <c:lblOffset val="100"/>
        <c:noMultiLvlLbl val="0"/>
      </c:catAx>
      <c:valAx>
        <c:axId val="159036440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239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tables!salesRep</c:name>
    <c:fmtId val="4"/>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sales</a:t>
            </a:r>
            <a:r>
              <a:rPr lang="en-US" baseline="0">
                <a:solidFill>
                  <a:srgbClr val="FF0000"/>
                </a:solidFill>
              </a:rPr>
              <a:t> by salesrep</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tables'!$I$4:$I$9</c:f>
              <c:strCache>
                <c:ptCount val="5"/>
                <c:pt idx="0">
                  <c:v>Ahmed</c:v>
                </c:pt>
                <c:pt idx="1">
                  <c:v>Ali</c:v>
                </c:pt>
                <c:pt idx="2">
                  <c:v>Ayesha</c:v>
                </c:pt>
                <c:pt idx="3">
                  <c:v>Fatima</c:v>
                </c:pt>
                <c:pt idx="4">
                  <c:v>Sara</c:v>
                </c:pt>
              </c:strCache>
            </c:strRef>
          </c:cat>
          <c:val>
            <c:numRef>
              <c:f>'pivot tables'!$J$4:$J$9</c:f>
              <c:numCache>
                <c:formatCode>#,##0</c:formatCode>
                <c:ptCount val="5"/>
                <c:pt idx="0">
                  <c:v>1320</c:v>
                </c:pt>
                <c:pt idx="1">
                  <c:v>1450</c:v>
                </c:pt>
                <c:pt idx="2">
                  <c:v>2700</c:v>
                </c:pt>
                <c:pt idx="3">
                  <c:v>1120</c:v>
                </c:pt>
                <c:pt idx="4">
                  <c:v>245</c:v>
                </c:pt>
              </c:numCache>
            </c:numRef>
          </c:val>
          <c:extLst>
            <c:ext xmlns:c16="http://schemas.microsoft.com/office/drawing/2014/chart" uri="{C3380CC4-5D6E-409C-BE32-E72D297353CC}">
              <c16:uniqueId val="{00000000-8951-4094-AD27-EDDA772F678A}"/>
            </c:ext>
          </c:extLst>
        </c:ser>
        <c:dLbls>
          <c:dLblPos val="outEnd"/>
          <c:showLegendKey val="0"/>
          <c:showVal val="1"/>
          <c:showCatName val="0"/>
          <c:showSerName val="0"/>
          <c:showPercent val="0"/>
          <c:showBubbleSize val="0"/>
        </c:dLbls>
        <c:gapWidth val="182"/>
        <c:axId val="55739808"/>
        <c:axId val="1590374480"/>
      </c:barChart>
      <c:catAx>
        <c:axId val="5573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0374480"/>
        <c:crosses val="autoZero"/>
        <c:auto val="1"/>
        <c:lblAlgn val="ctr"/>
        <c:lblOffset val="100"/>
        <c:noMultiLvlLbl val="0"/>
      </c:catAx>
      <c:valAx>
        <c:axId val="159037448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573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tables!category</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sales</a:t>
            </a:r>
            <a:r>
              <a:rPr lang="en-US" baseline="0">
                <a:solidFill>
                  <a:srgbClr val="FF0000"/>
                </a:solidFill>
              </a:rPr>
              <a:t> by category</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'pivot tables'!$N$3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ADB-4B1E-94E9-883AA2E0782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ADB-4B1E-94E9-883AA2E0782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ADB-4B1E-94E9-883AA2E07827}"/>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6ADB-4B1E-94E9-883AA2E078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tables'!$M$4:$M$7</c:f>
              <c:strCache>
                <c:ptCount val="3"/>
                <c:pt idx="0">
                  <c:v>Electronics</c:v>
                </c:pt>
                <c:pt idx="1">
                  <c:v>Furniture</c:v>
                </c:pt>
                <c:pt idx="2">
                  <c:v>Stationery</c:v>
                </c:pt>
              </c:strCache>
            </c:strRef>
          </c:cat>
          <c:val>
            <c:numRef>
              <c:f>'pivot tables'!$N$4:$N$7</c:f>
              <c:numCache>
                <c:formatCode>#,##0</c:formatCode>
                <c:ptCount val="3"/>
                <c:pt idx="0">
                  <c:v>4150</c:v>
                </c:pt>
                <c:pt idx="1">
                  <c:v>2440</c:v>
                </c:pt>
                <c:pt idx="2">
                  <c:v>245</c:v>
                </c:pt>
              </c:numCache>
            </c:numRef>
          </c:val>
          <c:extLst>
            <c:ext xmlns:c16="http://schemas.microsoft.com/office/drawing/2014/chart" uri="{C3380CC4-5D6E-409C-BE32-E72D297353CC}">
              <c16:uniqueId val="{00000008-6ADB-4B1E-94E9-883AA2E078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[Book1.xlsx]pivot tables!months</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month</a:t>
            </a:r>
            <a:r>
              <a:rPr lang="en-US" baseline="0">
                <a:solidFill>
                  <a:srgbClr val="FF0000"/>
                </a:solidFill>
              </a:rPr>
              <a:t> wise sales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tables'!$Q$4:$Q$16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tables'!$R$4:$R$16</c:f>
              <c:numCache>
                <c:formatCode>#,##0</c:formatCode>
                <c:ptCount val="12"/>
                <c:pt idx="0">
                  <c:v>9270</c:v>
                </c:pt>
                <c:pt idx="1">
                  <c:v>2550</c:v>
                </c:pt>
                <c:pt idx="2">
                  <c:v>1810</c:v>
                </c:pt>
                <c:pt idx="3">
                  <c:v>2400</c:v>
                </c:pt>
                <c:pt idx="4">
                  <c:v>3120</c:v>
                </c:pt>
                <c:pt idx="5">
                  <c:v>770</c:v>
                </c:pt>
                <c:pt idx="6">
                  <c:v>1635</c:v>
                </c:pt>
                <c:pt idx="7">
                  <c:v>1540</c:v>
                </c:pt>
                <c:pt idx="8">
                  <c:v>1520</c:v>
                </c:pt>
                <c:pt idx="9">
                  <c:v>2300</c:v>
                </c:pt>
                <c:pt idx="10">
                  <c:v>1180</c:v>
                </c:pt>
                <c:pt idx="11">
                  <c:v>6835</c:v>
                </c:pt>
              </c:numCache>
            </c:numRef>
          </c:val>
          <c:extLst>
            <c:ext xmlns:c16="http://schemas.microsoft.com/office/drawing/2014/chart" uri="{C3380CC4-5D6E-409C-BE32-E72D297353CC}">
              <c16:uniqueId val="{00000000-493D-4A03-930A-5394B59050B3}"/>
            </c:ext>
          </c:extLst>
        </c:ser>
        <c:dLbls>
          <c:dLblPos val="outEnd"/>
          <c:showLegendKey val="0"/>
          <c:showVal val="1"/>
          <c:showCatName val="0"/>
          <c:showSerName val="0"/>
          <c:showPercent val="0"/>
          <c:showBubbleSize val="0"/>
        </c:dLbls>
        <c:gapWidth val="182"/>
        <c:axId val="66728752"/>
        <c:axId val="55639088"/>
      </c:barChart>
      <c:catAx>
        <c:axId val="6672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639088"/>
        <c:crosses val="autoZero"/>
        <c:auto val="1"/>
        <c:lblAlgn val="ctr"/>
        <c:lblOffset val="100"/>
        <c:noMultiLvlLbl val="0"/>
      </c:catAx>
      <c:valAx>
        <c:axId val="556390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672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556260</xdr:colOff>
      <xdr:row>1</xdr:row>
      <xdr:rowOff>0</xdr:rowOff>
    </xdr:from>
    <xdr:to>
      <xdr:col>11</xdr:col>
      <xdr:colOff>373380</xdr:colOff>
      <xdr:row>12</xdr:row>
      <xdr:rowOff>68580</xdr:rowOff>
    </xdr:to>
    <xdr:graphicFrame macro="">
      <xdr:nvGraphicFramePr>
        <xdr:cNvPr id="2" name="Chart 1">
          <a:extLst>
            <a:ext uri="{FF2B5EF4-FFF2-40B4-BE49-F238E27FC236}">
              <a16:creationId xmlns:a16="http://schemas.microsoft.com/office/drawing/2014/main" id="{65614F81-C138-472C-B090-2AC56A6A3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594360</xdr:colOff>
      <xdr:row>13</xdr:row>
      <xdr:rowOff>22860</xdr:rowOff>
    </xdr:from>
    <xdr:to>
      <xdr:col>11</xdr:col>
      <xdr:colOff>411480</xdr:colOff>
      <xdr:row>26</xdr:row>
      <xdr:rowOff>152400</xdr:rowOff>
    </xdr:to>
    <xdr:graphicFrame macro="">
      <xdr:nvGraphicFramePr>
        <xdr:cNvPr id="3" name="Chart 2">
          <a:extLst>
            <a:ext uri="{FF2B5EF4-FFF2-40B4-BE49-F238E27FC236}">
              <a16:creationId xmlns:a16="http://schemas.microsoft.com/office/drawing/2014/main" id="{E3AFF510-25EE-441C-A6AB-E809ED23B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487680</xdr:colOff>
      <xdr:row>2</xdr:row>
      <xdr:rowOff>0</xdr:rowOff>
    </xdr:from>
    <xdr:to>
      <xdr:col>17</xdr:col>
      <xdr:colOff>297180</xdr:colOff>
      <xdr:row>26</xdr:row>
      <xdr:rowOff>114300</xdr:rowOff>
    </xdr:to>
    <xdr:graphicFrame macro="">
      <xdr:nvGraphicFramePr>
        <xdr:cNvPr id="4" name="Chart 3">
          <a:extLst>
            <a:ext uri="{FF2B5EF4-FFF2-40B4-BE49-F238E27FC236}">
              <a16:creationId xmlns:a16="http://schemas.microsoft.com/office/drawing/2014/main" id="{6D4C8DF3-0E4B-4D28-ABE0-EFAC5303F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106680</xdr:rowOff>
    </xdr:from>
    <xdr:to>
      <xdr:col>3</xdr:col>
      <xdr:colOff>541020</xdr:colOff>
      <xdr:row>26</xdr:row>
      <xdr:rowOff>121920</xdr:rowOff>
    </xdr:to>
    <xdr:graphicFrame macro="">
      <xdr:nvGraphicFramePr>
        <xdr:cNvPr id="5" name="Chart 4">
          <a:extLst>
            <a:ext uri="{FF2B5EF4-FFF2-40B4-BE49-F238E27FC236}">
              <a16:creationId xmlns:a16="http://schemas.microsoft.com/office/drawing/2014/main" id="{68B91F9E-7CA8-4337-8DBB-6F5634220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274320</xdr:colOff>
      <xdr:row>0</xdr:row>
      <xdr:rowOff>60960</xdr:rowOff>
    </xdr:from>
    <xdr:to>
      <xdr:col>3</xdr:col>
      <xdr:colOff>274320</xdr:colOff>
      <xdr:row>13</xdr:row>
      <xdr:rowOff>150495</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86880407-FD04-DDD0-AA6F-6545F3F5B55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74320" y="60960"/>
              <a:ext cx="1828800" cy="24669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320040</xdr:colOff>
      <xdr:row>2</xdr:row>
      <xdr:rowOff>15240</xdr:rowOff>
    </xdr:from>
    <xdr:to>
      <xdr:col>23</xdr:col>
      <xdr:colOff>281940</xdr:colOff>
      <xdr:row>26</xdr:row>
      <xdr:rowOff>76200</xdr:rowOff>
    </xdr:to>
    <xdr:graphicFrame macro="">
      <xdr:nvGraphicFramePr>
        <xdr:cNvPr id="7" name="Chart 6">
          <a:extLst>
            <a:ext uri="{FF2B5EF4-FFF2-40B4-BE49-F238E27FC236}">
              <a16:creationId xmlns:a16="http://schemas.microsoft.com/office/drawing/2014/main" id="{E1E5227E-1504-40E8-B882-26F671728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7.475650810185" createdVersion="8" refreshedVersion="8" minRefreshableVersion="3" recordCount="40" xr:uid="{A0F67234-312D-44FC-BD9A-212C396B48CC}">
  <cacheSource type="worksheet">
    <worksheetSource ref="A1:H41" sheet="source data"/>
  </cacheSource>
  <cacheFields count="10">
    <cacheField name="Date" numFmtId="15">
      <sharedItems containsSemiMixedTypes="0" containsNonDate="0" containsDate="1" containsString="0" minDate="2026-01-01T00:00:00" maxDate="2027-01-01T00:00:00" count="40">
        <d v="2026-01-01T00:00:00"/>
        <d v="2026-01-03T00:00:00"/>
        <d v="2026-01-05T00:00:00"/>
        <d v="2026-01-07T00:00:00"/>
        <d v="2026-01-10T00:00:00"/>
        <d v="2026-01-15T00:00:00"/>
        <d v="2026-01-22T00:00:00"/>
        <d v="2026-01-29T00:00:00"/>
        <d v="2026-02-04T00:00:00"/>
        <d v="2026-02-11T00:00:00"/>
        <d v="2026-02-18T00:00:00"/>
        <d v="2026-02-25T00:00:00"/>
        <d v="2026-03-05T00:00:00"/>
        <d v="2026-03-12T00:00:00"/>
        <d v="2026-03-19T00:00:00"/>
        <d v="2026-03-26T00:00:00"/>
        <d v="2026-04-02T00:00:00"/>
        <d v="2026-04-09T00:00:00"/>
        <d v="2026-04-16T00:00:00"/>
        <d v="2026-04-23T00:00:00"/>
        <d v="2026-05-07T00:00:00"/>
        <d v="2026-05-21T00:00:00"/>
        <d v="2026-06-04T00:00:00"/>
        <d v="2026-06-18T00:00:00"/>
        <d v="2026-07-02T00:00:00"/>
        <d v="2026-07-16T00:00:00"/>
        <d v="2026-07-30T00:00:00"/>
        <d v="2026-08-13T00:00:00"/>
        <d v="2026-08-27T00:00:00"/>
        <d v="2026-09-10T00:00:00"/>
        <d v="2026-09-24T00:00:00"/>
        <d v="2026-10-08T00:00:00"/>
        <d v="2026-10-22T00:00:00"/>
        <d v="2026-11-05T00:00:00"/>
        <d v="2026-11-19T00:00:00"/>
        <d v="2026-12-03T00:00:00"/>
        <d v="2026-12-10T00:00:00"/>
        <d v="2026-12-17T00:00:00"/>
        <d v="2026-12-24T00:00:00"/>
        <d v="2026-12-31T00:00:00"/>
      </sharedItems>
      <fieldGroup par="9"/>
    </cacheField>
    <cacheField name="Product" numFmtId="0">
      <sharedItems count="34">
        <s v="Laptop"/>
        <s v="Mobile"/>
        <s v="Chair"/>
        <s v="Printer"/>
        <s v="Desk"/>
        <s v="Notebook"/>
        <s v="Pen"/>
        <s v="Monitor"/>
        <s v="Mouse"/>
        <s v="Keyboard"/>
        <s v="Sofa"/>
        <s v="Whiteboard"/>
        <s v="Table"/>
        <s v="Scanner"/>
        <s v="File Folder"/>
        <s v="Calculator"/>
        <s v="Headphones"/>
        <s v="Bookshelf"/>
        <s v="Marker"/>
        <s v="Webcam"/>
        <s v="Tablet"/>
        <s v="Office Chair"/>
        <s v="USB Drive"/>
        <s v="Printer Ink"/>
        <s v="Router"/>
        <s v="Desk Lamp"/>
        <s v="Mouse Pad"/>
        <s v="Cabinet"/>
        <s v="Sticky Notes"/>
        <s v="Projector"/>
        <s v="Pen Set"/>
        <s v="Speaker"/>
        <s v="Diary"/>
        <s v="Office Desk"/>
      </sharedItems>
    </cacheField>
    <cacheField name="Category" numFmtId="0">
      <sharedItems count="4">
        <s v="Electronics"/>
        <s v="Furniture"/>
        <s v="Stationery"/>
        <s v="Office"/>
      </sharedItems>
    </cacheField>
    <cacheField name="Sales Rep" numFmtId="0">
      <sharedItems count="6">
        <s v="Ahmed"/>
        <s v="Sara"/>
        <s v="Ali"/>
        <s v="Fatima"/>
        <s v="Bilal"/>
        <s v="Ayesha"/>
      </sharedItems>
    </cacheField>
    <cacheField name="City" numFmtId="0">
      <sharedItems count="6">
        <s v="Lahore"/>
        <s v="Karachi"/>
        <s v="Islamabad"/>
        <s v="Faisalabad"/>
        <s v="Multan"/>
        <s v="Peshawar"/>
      </sharedItems>
    </cacheField>
    <cacheField name="No of unit" numFmtId="0">
      <sharedItems containsSemiMixedTypes="0" containsString="0" containsNumber="1" containsInteger="1" minValue="2" maxValue="100"/>
    </cacheField>
    <cacheField name="Price" numFmtId="0">
      <sharedItems containsSemiMixedTypes="0" containsString="0" containsNumber="1" containsInteger="1" minValue="2" maxValue="900"/>
    </cacheField>
    <cacheField name="Amount" numFmtId="0">
      <sharedItems containsSemiMixedTypes="0" containsString="0" containsNumber="1" containsInteger="1" minValue="120" maxValue="2700"/>
    </cacheField>
    <cacheField name="Days (Date)" numFmtId="0" databaseField="0">
      <fieldGroup base="0">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t"/>
          <s v="2-Sept"/>
          <s v="3-Sept"/>
          <s v="4-Sept"/>
          <s v="5-Sept"/>
          <s v="6-Sept"/>
          <s v="7-Sept"/>
          <s v="8-Sept"/>
          <s v="9-Sept"/>
          <s v="10-Sept"/>
          <s v="11-Sept"/>
          <s v="12-Sept"/>
          <s v="13-Sept"/>
          <s v="14-Sept"/>
          <s v="15-Sept"/>
          <s v="16-Sept"/>
          <s v="17-Sept"/>
          <s v="18-Sept"/>
          <s v="19-Sept"/>
          <s v="20-Sept"/>
          <s v="21-Sept"/>
          <s v="22-Sept"/>
          <s v="23-Sept"/>
          <s v="24-Sept"/>
          <s v="25-Sept"/>
          <s v="26-Sept"/>
          <s v="27-Sept"/>
          <s v="28-Sept"/>
          <s v="29-Sept"/>
          <s v="30-Sep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0">
        <rangePr groupBy="months" startDate="2026-01-01T00:00:00" endDate="2027-01-01T00:00:00"/>
        <groupItems count="14">
          <s v="&lt;1/1/2026"/>
          <s v="Jan"/>
          <s v="Feb"/>
          <s v="Mar"/>
          <s v="Apr"/>
          <s v="May"/>
          <s v="Jun"/>
          <s v="Jul"/>
          <s v="Aug"/>
          <s v="Sept"/>
          <s v="Oct"/>
          <s v="Nov"/>
          <s v="Dec"/>
          <s v="&gt;1/1/2027"/>
        </groupItems>
      </fieldGroup>
    </cacheField>
  </cacheFields>
  <extLst>
    <ext xmlns:x14="http://schemas.microsoft.com/office/spreadsheetml/2009/9/main" uri="{725AE2AE-9491-48be-B2B4-4EB974FC3084}">
      <x14:pivotCacheDefinition pivotCacheId="1009845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x v="0"/>
    <n v="3"/>
    <n v="850"/>
    <n v="2550"/>
  </r>
  <r>
    <x v="1"/>
    <x v="1"/>
    <x v="0"/>
    <x v="1"/>
    <x v="1"/>
    <n v="5"/>
    <n v="450"/>
    <n v="2250"/>
  </r>
  <r>
    <x v="2"/>
    <x v="2"/>
    <x v="1"/>
    <x v="2"/>
    <x v="2"/>
    <n v="8"/>
    <n v="120"/>
    <n v="960"/>
  </r>
  <r>
    <x v="3"/>
    <x v="3"/>
    <x v="0"/>
    <x v="3"/>
    <x v="3"/>
    <n v="2"/>
    <n v="300"/>
    <n v="600"/>
  </r>
  <r>
    <x v="4"/>
    <x v="4"/>
    <x v="1"/>
    <x v="4"/>
    <x v="4"/>
    <n v="4"/>
    <n v="220"/>
    <n v="880"/>
  </r>
  <r>
    <x v="5"/>
    <x v="5"/>
    <x v="2"/>
    <x v="5"/>
    <x v="0"/>
    <n v="30"/>
    <n v="5"/>
    <n v="150"/>
  </r>
  <r>
    <x v="6"/>
    <x v="6"/>
    <x v="2"/>
    <x v="0"/>
    <x v="1"/>
    <n v="100"/>
    <n v="2"/>
    <n v="200"/>
  </r>
  <r>
    <x v="7"/>
    <x v="7"/>
    <x v="0"/>
    <x v="1"/>
    <x v="5"/>
    <n v="6"/>
    <n v="280"/>
    <n v="1680"/>
  </r>
  <r>
    <x v="8"/>
    <x v="8"/>
    <x v="0"/>
    <x v="2"/>
    <x v="0"/>
    <n v="20"/>
    <n v="15"/>
    <n v="300"/>
  </r>
  <r>
    <x v="9"/>
    <x v="9"/>
    <x v="0"/>
    <x v="3"/>
    <x v="2"/>
    <n v="15"/>
    <n v="30"/>
    <n v="450"/>
  </r>
  <r>
    <x v="10"/>
    <x v="10"/>
    <x v="1"/>
    <x v="4"/>
    <x v="1"/>
    <n v="2"/>
    <n v="700"/>
    <n v="1400"/>
  </r>
  <r>
    <x v="11"/>
    <x v="11"/>
    <x v="3"/>
    <x v="5"/>
    <x v="3"/>
    <n v="5"/>
    <n v="80"/>
    <n v="400"/>
  </r>
  <r>
    <x v="12"/>
    <x v="12"/>
    <x v="1"/>
    <x v="0"/>
    <x v="0"/>
    <n v="4"/>
    <n v="180"/>
    <n v="720"/>
  </r>
  <r>
    <x v="13"/>
    <x v="13"/>
    <x v="0"/>
    <x v="1"/>
    <x v="4"/>
    <n v="3"/>
    <n v="250"/>
    <n v="750"/>
  </r>
  <r>
    <x v="14"/>
    <x v="14"/>
    <x v="3"/>
    <x v="2"/>
    <x v="5"/>
    <n v="40"/>
    <n v="4"/>
    <n v="160"/>
  </r>
  <r>
    <x v="15"/>
    <x v="15"/>
    <x v="3"/>
    <x v="3"/>
    <x v="1"/>
    <n v="10"/>
    <n v="18"/>
    <n v="180"/>
  </r>
  <r>
    <x v="16"/>
    <x v="16"/>
    <x v="0"/>
    <x v="4"/>
    <x v="0"/>
    <n v="8"/>
    <n v="90"/>
    <n v="720"/>
  </r>
  <r>
    <x v="17"/>
    <x v="17"/>
    <x v="1"/>
    <x v="5"/>
    <x v="2"/>
    <n v="3"/>
    <n v="320"/>
    <n v="960"/>
  </r>
  <r>
    <x v="18"/>
    <x v="18"/>
    <x v="2"/>
    <x v="0"/>
    <x v="3"/>
    <n v="50"/>
    <n v="3"/>
    <n v="150"/>
  </r>
  <r>
    <x v="19"/>
    <x v="19"/>
    <x v="0"/>
    <x v="1"/>
    <x v="1"/>
    <n v="6"/>
    <n v="95"/>
    <n v="570"/>
  </r>
  <r>
    <x v="20"/>
    <x v="20"/>
    <x v="0"/>
    <x v="2"/>
    <x v="0"/>
    <n v="4"/>
    <n v="500"/>
    <n v="2000"/>
  </r>
  <r>
    <x v="21"/>
    <x v="21"/>
    <x v="1"/>
    <x v="3"/>
    <x v="4"/>
    <n v="7"/>
    <n v="160"/>
    <n v="1120"/>
  </r>
  <r>
    <x v="22"/>
    <x v="22"/>
    <x v="0"/>
    <x v="4"/>
    <x v="5"/>
    <n v="25"/>
    <n v="20"/>
    <n v="500"/>
  </r>
  <r>
    <x v="23"/>
    <x v="5"/>
    <x v="2"/>
    <x v="5"/>
    <x v="1"/>
    <n v="45"/>
    <n v="6"/>
    <n v="270"/>
  </r>
  <r>
    <x v="24"/>
    <x v="23"/>
    <x v="3"/>
    <x v="0"/>
    <x v="0"/>
    <n v="12"/>
    <n v="35"/>
    <n v="420"/>
  </r>
  <r>
    <x v="25"/>
    <x v="24"/>
    <x v="0"/>
    <x v="1"/>
    <x v="2"/>
    <n v="9"/>
    <n v="85"/>
    <n v="765"/>
  </r>
  <r>
    <x v="26"/>
    <x v="25"/>
    <x v="1"/>
    <x v="2"/>
    <x v="3"/>
    <n v="10"/>
    <n v="45"/>
    <n v="450"/>
  </r>
  <r>
    <x v="27"/>
    <x v="26"/>
    <x v="0"/>
    <x v="3"/>
    <x v="0"/>
    <n v="30"/>
    <n v="8"/>
    <n v="240"/>
  </r>
  <r>
    <x v="28"/>
    <x v="27"/>
    <x v="1"/>
    <x v="4"/>
    <x v="1"/>
    <n v="5"/>
    <n v="260"/>
    <n v="1300"/>
  </r>
  <r>
    <x v="29"/>
    <x v="28"/>
    <x v="2"/>
    <x v="5"/>
    <x v="4"/>
    <n v="60"/>
    <n v="2"/>
    <n v="120"/>
  </r>
  <r>
    <x v="30"/>
    <x v="29"/>
    <x v="0"/>
    <x v="0"/>
    <x v="2"/>
    <n v="2"/>
    <n v="700"/>
    <n v="1400"/>
  </r>
  <r>
    <x v="31"/>
    <x v="13"/>
    <x v="0"/>
    <x v="1"/>
    <x v="0"/>
    <n v="4"/>
    <n v="260"/>
    <n v="1040"/>
  </r>
  <r>
    <x v="32"/>
    <x v="4"/>
    <x v="1"/>
    <x v="2"/>
    <x v="1"/>
    <n v="6"/>
    <n v="210"/>
    <n v="1260"/>
  </r>
  <r>
    <x v="33"/>
    <x v="30"/>
    <x v="2"/>
    <x v="3"/>
    <x v="3"/>
    <n v="40"/>
    <n v="5"/>
    <n v="200"/>
  </r>
  <r>
    <x v="34"/>
    <x v="31"/>
    <x v="0"/>
    <x v="4"/>
    <x v="0"/>
    <n v="7"/>
    <n v="140"/>
    <n v="980"/>
  </r>
  <r>
    <x v="35"/>
    <x v="0"/>
    <x v="0"/>
    <x v="5"/>
    <x v="1"/>
    <n v="3"/>
    <n v="900"/>
    <n v="2700"/>
  </r>
  <r>
    <x v="36"/>
    <x v="2"/>
    <x v="1"/>
    <x v="0"/>
    <x v="2"/>
    <n v="12"/>
    <n v="110"/>
    <n v="1320"/>
  </r>
  <r>
    <x v="37"/>
    <x v="32"/>
    <x v="2"/>
    <x v="1"/>
    <x v="0"/>
    <n v="35"/>
    <n v="7"/>
    <n v="245"/>
  </r>
  <r>
    <x v="38"/>
    <x v="7"/>
    <x v="0"/>
    <x v="2"/>
    <x v="4"/>
    <n v="5"/>
    <n v="290"/>
    <n v="1450"/>
  </r>
  <r>
    <x v="39"/>
    <x v="33"/>
    <x v="1"/>
    <x v="3"/>
    <x v="5"/>
    <n v="4"/>
    <n v="280"/>
    <n v="1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B5771-F551-4A57-95BA-C8EFA0215432}"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3:R16" firstHeaderRow="1" firstDataRow="1" firstDataCol="1"/>
  <pivotFields count="10">
    <pivotField numFmtId="15"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35">
        <item x="17"/>
        <item x="27"/>
        <item x="15"/>
        <item x="2"/>
        <item x="4"/>
        <item x="25"/>
        <item x="32"/>
        <item x="14"/>
        <item x="16"/>
        <item x="9"/>
        <item x="0"/>
        <item x="18"/>
        <item x="1"/>
        <item x="7"/>
        <item x="8"/>
        <item x="26"/>
        <item x="5"/>
        <item x="21"/>
        <item x="33"/>
        <item x="6"/>
        <item x="30"/>
        <item x="3"/>
        <item x="23"/>
        <item x="29"/>
        <item x="24"/>
        <item x="13"/>
        <item x="10"/>
        <item x="31"/>
        <item x="28"/>
        <item x="12"/>
        <item x="20"/>
        <item x="22"/>
        <item x="19"/>
        <item x="11"/>
        <item t="default"/>
      </items>
    </pivotField>
    <pivotField showAll="0">
      <items count="5">
        <item x="0"/>
        <item x="1"/>
        <item x="3"/>
        <item x="2"/>
        <item t="default"/>
      </items>
    </pivotField>
    <pivotField showAll="0">
      <items count="7">
        <item x="0"/>
        <item x="2"/>
        <item x="5"/>
        <item x="4"/>
        <item x="3"/>
        <item x="1"/>
        <item t="default"/>
      </items>
    </pivotField>
    <pivotField showAll="0">
      <items count="7">
        <item x="3"/>
        <item x="2"/>
        <item x="1"/>
        <item x="0"/>
        <item x="4"/>
        <item x="5"/>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703E90-DF23-40EA-B4B0-914BE93DF4FD}"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7" firstHeaderRow="1" firstDataRow="1" firstDataCol="1"/>
  <pivotFields count="10">
    <pivotField numFmtId="15"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35">
        <item x="17"/>
        <item x="27"/>
        <item x="15"/>
        <item x="2"/>
        <item x="4"/>
        <item x="25"/>
        <item x="32"/>
        <item x="14"/>
        <item x="16"/>
        <item x="9"/>
        <item x="0"/>
        <item x="18"/>
        <item x="1"/>
        <item x="7"/>
        <item x="8"/>
        <item x="26"/>
        <item x="5"/>
        <item x="21"/>
        <item x="33"/>
        <item x="6"/>
        <item x="30"/>
        <item x="3"/>
        <item x="23"/>
        <item x="29"/>
        <item x="24"/>
        <item x="13"/>
        <item x="10"/>
        <item x="31"/>
        <item x="28"/>
        <item x="12"/>
        <item x="20"/>
        <item x="22"/>
        <item x="19"/>
        <item x="11"/>
        <item t="default"/>
      </items>
    </pivotField>
    <pivotField axis="axisRow" showAll="0">
      <items count="5">
        <item x="0"/>
        <item x="1"/>
        <item x="3"/>
        <item x="2"/>
        <item t="default"/>
      </items>
    </pivotField>
    <pivotField showAll="0">
      <items count="7">
        <item x="0"/>
        <item x="2"/>
        <item x="5"/>
        <item x="4"/>
        <item x="3"/>
        <item x="1"/>
        <item t="default"/>
      </items>
    </pivotField>
    <pivotField showAll="0">
      <items count="7">
        <item x="3"/>
        <item x="2"/>
        <item x="1"/>
        <item x="0"/>
        <item x="4"/>
        <item x="5"/>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2"/>
  </rowFields>
  <rowItems count="4">
    <i>
      <x/>
    </i>
    <i>
      <x v="1"/>
    </i>
    <i>
      <x v="3"/>
    </i>
    <i t="grand">
      <x/>
    </i>
  </rowItems>
  <colItems count="1">
    <i/>
  </colItems>
  <dataFields count="1">
    <dataField name="Sum of Amount" fld="7" baseField="0" baseItem="0" numFmtId="3"/>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A03154-747C-4276-B8B3-4498E339D5A5}" name="sales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9" firstHeaderRow="1" firstDataRow="1" firstDataCol="1"/>
  <pivotFields count="10">
    <pivotField numFmtId="15"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35">
        <item x="17"/>
        <item x="27"/>
        <item x="15"/>
        <item x="2"/>
        <item x="4"/>
        <item x="25"/>
        <item x="32"/>
        <item x="14"/>
        <item x="16"/>
        <item x="9"/>
        <item x="0"/>
        <item x="18"/>
        <item x="1"/>
        <item x="7"/>
        <item x="8"/>
        <item x="26"/>
        <item x="5"/>
        <item x="21"/>
        <item x="33"/>
        <item x="6"/>
        <item x="30"/>
        <item x="3"/>
        <item x="23"/>
        <item x="29"/>
        <item x="24"/>
        <item x="13"/>
        <item x="10"/>
        <item x="31"/>
        <item x="28"/>
        <item x="12"/>
        <item x="20"/>
        <item x="22"/>
        <item x="19"/>
        <item x="11"/>
        <item t="default"/>
      </items>
    </pivotField>
    <pivotField showAll="0"/>
    <pivotField axis="axisRow" showAll="0">
      <items count="7">
        <item x="0"/>
        <item x="2"/>
        <item x="5"/>
        <item x="4"/>
        <item x="3"/>
        <item x="1"/>
        <item t="default"/>
      </items>
    </pivotField>
    <pivotField showAll="0">
      <items count="7">
        <item x="3"/>
        <item x="2"/>
        <item x="1"/>
        <item x="0"/>
        <item x="4"/>
        <item x="5"/>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3"/>
  </rowFields>
  <rowItems count="6">
    <i>
      <x/>
    </i>
    <i>
      <x v="1"/>
    </i>
    <i>
      <x v="2"/>
    </i>
    <i>
      <x v="4"/>
    </i>
    <i>
      <x v="5"/>
    </i>
    <i t="grand">
      <x/>
    </i>
  </rowItems>
  <colItems count="1">
    <i/>
  </colItems>
  <dataFields count="1">
    <dataField name="Sum of Amount" fld="7"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47AB99-FF12-45CF-BEDC-1B026AB8DA35}"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9" firstHeaderRow="1" firstDataRow="1" firstDataCol="1"/>
  <pivotFields count="10">
    <pivotField numFmtId="15"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items count="35">
        <item x="17"/>
        <item x="27"/>
        <item x="15"/>
        <item x="2"/>
        <item x="4"/>
        <item x="25"/>
        <item x="32"/>
        <item x="14"/>
        <item x="16"/>
        <item x="9"/>
        <item x="0"/>
        <item x="18"/>
        <item x="1"/>
        <item x="7"/>
        <item x="8"/>
        <item x="26"/>
        <item x="5"/>
        <item x="21"/>
        <item x="33"/>
        <item x="6"/>
        <item x="30"/>
        <item x="3"/>
        <item x="23"/>
        <item x="29"/>
        <item x="24"/>
        <item x="13"/>
        <item x="10"/>
        <item x="31"/>
        <item x="28"/>
        <item x="12"/>
        <item x="20"/>
        <item x="22"/>
        <item x="19"/>
        <item x="11"/>
        <item t="default"/>
      </items>
    </pivotField>
    <pivotField showAll="0"/>
    <pivotField showAll="0"/>
    <pivotField showAll="0">
      <items count="7">
        <item x="3"/>
        <item x="2"/>
        <item x="1"/>
        <item x="0"/>
        <item x="4"/>
        <item x="5"/>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1"/>
  </rowFields>
  <rowItems count="6">
    <i>
      <x v="3"/>
    </i>
    <i>
      <x v="6"/>
    </i>
    <i>
      <x v="10"/>
    </i>
    <i>
      <x v="13"/>
    </i>
    <i>
      <x v="18"/>
    </i>
    <i t="grand">
      <x/>
    </i>
  </rowItems>
  <colItems count="1">
    <i/>
  </colItems>
  <dataFields count="1">
    <dataField name="Sum of Amount" fld="7"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50BC6B-C8C8-439D-93F4-D159CACD5986}"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0">
    <pivotField numFmtId="15"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pivotField axis="axisRow" showAll="0">
      <items count="7">
        <item x="3"/>
        <item x="2"/>
        <item x="1"/>
        <item x="0"/>
        <item x="4"/>
        <item x="5"/>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s>
  <rowFields count="1">
    <field x="4"/>
  </rowFields>
  <rowItems count="6">
    <i>
      <x v="1"/>
    </i>
    <i>
      <x v="2"/>
    </i>
    <i>
      <x v="3"/>
    </i>
    <i>
      <x v="4"/>
    </i>
    <i>
      <x v="5"/>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A3A410C-4045-4006-9179-CED454E88434}" sourceName="Months (Date)">
  <pivotTables>
    <pivotTable tabId="2" name="city"/>
    <pivotTable tabId="2" name="category"/>
    <pivotTable tabId="2" name="product"/>
    <pivotTable tabId="2" name="salesRep"/>
  </pivotTables>
  <data>
    <tabular pivotCacheId="1009845549">
      <items count="14">
        <i x="1"/>
        <i x="2"/>
        <i x="3"/>
        <i x="4"/>
        <i x="5"/>
        <i x="6"/>
        <i x="7"/>
        <i x="8"/>
        <i x="9"/>
        <i x="10"/>
        <i x="1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13F89D0-B449-4F29-8151-2C714861FBB4}" cache="Slicer_Months__Date" caption="Months (Date)" startItem="5"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E930B-7F24-4EDB-96D2-3CB6EB39A685}">
  <dimension ref="A3:R16"/>
  <sheetViews>
    <sheetView topLeftCell="O1" workbookViewId="0">
      <selection activeCell="AA25" sqref="AA25"/>
    </sheetView>
  </sheetViews>
  <sheetFormatPr defaultRowHeight="14.4" x14ac:dyDescent="0.3"/>
  <cols>
    <col min="1" max="1" width="12.5546875" bestFit="1" customWidth="1"/>
    <col min="2" max="2" width="14.44140625" bestFit="1" customWidth="1"/>
    <col min="5" max="5" width="12.5546875" bestFit="1" customWidth="1"/>
    <col min="6" max="6" width="14.44140625" bestFit="1" customWidth="1"/>
    <col min="9" max="9" width="12.5546875" bestFit="1" customWidth="1"/>
    <col min="10" max="10" width="14.44140625" bestFit="1" customWidth="1"/>
    <col min="13" max="13" width="12.5546875" bestFit="1" customWidth="1"/>
    <col min="14" max="14" width="14.44140625" bestFit="1" customWidth="1"/>
    <col min="17" max="17" width="12.5546875" bestFit="1" customWidth="1"/>
    <col min="18" max="18" width="14.44140625" bestFit="1" customWidth="1"/>
  </cols>
  <sheetData>
    <row r="3" spans="1:18" x14ac:dyDescent="0.3">
      <c r="A3" s="8" t="s">
        <v>58</v>
      </c>
      <c r="B3" t="s">
        <v>60</v>
      </c>
      <c r="E3" s="8" t="s">
        <v>58</v>
      </c>
      <c r="F3" t="s">
        <v>60</v>
      </c>
      <c r="I3" s="8" t="s">
        <v>58</v>
      </c>
      <c r="J3" t="s">
        <v>60</v>
      </c>
      <c r="M3" s="8" t="s">
        <v>58</v>
      </c>
      <c r="N3" t="s">
        <v>60</v>
      </c>
      <c r="Q3" s="8" t="s">
        <v>58</v>
      </c>
      <c r="R3" t="s">
        <v>60</v>
      </c>
    </row>
    <row r="4" spans="1:18" x14ac:dyDescent="0.3">
      <c r="A4" s="2" t="s">
        <v>7</v>
      </c>
      <c r="B4" s="9">
        <v>1320</v>
      </c>
      <c r="E4" s="2" t="s">
        <v>19</v>
      </c>
      <c r="F4" s="9">
        <v>1320</v>
      </c>
      <c r="I4" s="2" t="s">
        <v>5</v>
      </c>
      <c r="J4" s="9">
        <v>1320</v>
      </c>
      <c r="M4" s="2" t="s">
        <v>17</v>
      </c>
      <c r="N4" s="9">
        <v>4150</v>
      </c>
      <c r="Q4" s="2" t="s">
        <v>61</v>
      </c>
      <c r="R4" s="9">
        <v>9270</v>
      </c>
    </row>
    <row r="5" spans="1:18" x14ac:dyDescent="0.3">
      <c r="A5" s="2" t="s">
        <v>4</v>
      </c>
      <c r="B5" s="9">
        <v>2700</v>
      </c>
      <c r="E5" s="2" t="s">
        <v>55</v>
      </c>
      <c r="F5" s="9">
        <v>245</v>
      </c>
      <c r="I5" s="2" t="s">
        <v>2</v>
      </c>
      <c r="J5" s="9">
        <v>1450</v>
      </c>
      <c r="M5" s="2" t="s">
        <v>20</v>
      </c>
      <c r="N5" s="9">
        <v>2440</v>
      </c>
      <c r="Q5" s="2" t="s">
        <v>62</v>
      </c>
      <c r="R5" s="9">
        <v>2550</v>
      </c>
    </row>
    <row r="6" spans="1:18" x14ac:dyDescent="0.3">
      <c r="A6" s="2" t="s">
        <v>0</v>
      </c>
      <c r="B6" s="9">
        <v>245</v>
      </c>
      <c r="E6" s="2" t="s">
        <v>16</v>
      </c>
      <c r="F6" s="9">
        <v>2700</v>
      </c>
      <c r="I6" s="2" t="s">
        <v>9</v>
      </c>
      <c r="J6" s="9">
        <v>2700</v>
      </c>
      <c r="M6" s="2" t="s">
        <v>26</v>
      </c>
      <c r="N6" s="9">
        <v>245</v>
      </c>
      <c r="Q6" s="2" t="s">
        <v>63</v>
      </c>
      <c r="R6" s="9">
        <v>1810</v>
      </c>
    </row>
    <row r="7" spans="1:18" x14ac:dyDescent="0.3">
      <c r="A7" s="2" t="s">
        <v>24</v>
      </c>
      <c r="B7" s="9">
        <v>1450</v>
      </c>
      <c r="E7" s="2" t="s">
        <v>28</v>
      </c>
      <c r="F7" s="9">
        <v>1450</v>
      </c>
      <c r="I7" s="2" t="s">
        <v>6</v>
      </c>
      <c r="J7" s="9">
        <v>1120</v>
      </c>
      <c r="M7" s="2" t="s">
        <v>59</v>
      </c>
      <c r="N7" s="9">
        <v>6835</v>
      </c>
      <c r="Q7" s="2" t="s">
        <v>64</v>
      </c>
      <c r="R7" s="9">
        <v>2400</v>
      </c>
    </row>
    <row r="8" spans="1:18" x14ac:dyDescent="0.3">
      <c r="A8" s="2" t="s">
        <v>29</v>
      </c>
      <c r="B8" s="9">
        <v>1120</v>
      </c>
      <c r="E8" s="2" t="s">
        <v>56</v>
      </c>
      <c r="F8" s="9">
        <v>1120</v>
      </c>
      <c r="I8" s="2" t="s">
        <v>3</v>
      </c>
      <c r="J8" s="9">
        <v>245</v>
      </c>
      <c r="Q8" s="2" t="s">
        <v>65</v>
      </c>
      <c r="R8" s="9">
        <v>3120</v>
      </c>
    </row>
    <row r="9" spans="1:18" x14ac:dyDescent="0.3">
      <c r="A9" s="2" t="s">
        <v>59</v>
      </c>
      <c r="B9" s="9">
        <v>6835</v>
      </c>
      <c r="E9" s="2" t="s">
        <v>59</v>
      </c>
      <c r="F9" s="9">
        <v>6835</v>
      </c>
      <c r="I9" s="2" t="s">
        <v>59</v>
      </c>
      <c r="J9" s="9">
        <v>6835</v>
      </c>
      <c r="Q9" s="2" t="s">
        <v>66</v>
      </c>
      <c r="R9" s="9">
        <v>770</v>
      </c>
    </row>
    <row r="10" spans="1:18" x14ac:dyDescent="0.3">
      <c r="Q10" s="2" t="s">
        <v>67</v>
      </c>
      <c r="R10" s="9">
        <v>1635</v>
      </c>
    </row>
    <row r="11" spans="1:18" x14ac:dyDescent="0.3">
      <c r="Q11" s="2" t="s">
        <v>68</v>
      </c>
      <c r="R11" s="9">
        <v>1540</v>
      </c>
    </row>
    <row r="12" spans="1:18" x14ac:dyDescent="0.3">
      <c r="Q12" s="2" t="s">
        <v>69</v>
      </c>
      <c r="R12" s="9">
        <v>1520</v>
      </c>
    </row>
    <row r="13" spans="1:18" x14ac:dyDescent="0.3">
      <c r="Q13" s="2" t="s">
        <v>70</v>
      </c>
      <c r="R13" s="9">
        <v>2300</v>
      </c>
    </row>
    <row r="14" spans="1:18" x14ac:dyDescent="0.3">
      <c r="Q14" s="2" t="s">
        <v>71</v>
      </c>
      <c r="R14" s="9">
        <v>1180</v>
      </c>
    </row>
    <row r="15" spans="1:18" x14ac:dyDescent="0.3">
      <c r="Q15" s="2" t="s">
        <v>72</v>
      </c>
      <c r="R15" s="9">
        <v>6835</v>
      </c>
    </row>
    <row r="16" spans="1:18" x14ac:dyDescent="0.3">
      <c r="Q16" s="2" t="s">
        <v>59</v>
      </c>
      <c r="R16" s="9">
        <v>34930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BCC92-28CF-4985-BDCA-6D5F97C88A64}">
  <dimension ref="A1"/>
  <sheetViews>
    <sheetView showGridLines="0" tabSelected="1" workbookViewId="0">
      <selection activeCell="O1" sqref="O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E1456-096F-496D-91BF-EC55F9F5A598}">
  <dimension ref="A1:K41"/>
  <sheetViews>
    <sheetView workbookViewId="0">
      <pane ySplit="1" topLeftCell="A15" activePane="bottomLeft" state="frozen"/>
      <selection pane="bottomLeft" activeCell="D15" sqref="D15"/>
    </sheetView>
  </sheetViews>
  <sheetFormatPr defaultRowHeight="14.4" x14ac:dyDescent="0.3"/>
  <cols>
    <col min="1" max="1" width="14.33203125" style="2" customWidth="1"/>
    <col min="2" max="2" width="15.44140625" customWidth="1"/>
    <col min="3" max="3" width="15.33203125" customWidth="1"/>
    <col min="4" max="4" width="17.21875" customWidth="1"/>
    <col min="5" max="5" width="17.109375" customWidth="1"/>
    <col min="6" max="6" width="17.5546875" style="2" customWidth="1"/>
    <col min="7" max="7" width="20.5546875" style="2" customWidth="1"/>
    <col min="8" max="8" width="24.6640625" style="2" customWidth="1"/>
  </cols>
  <sheetData>
    <row r="1" spans="1:11" x14ac:dyDescent="0.3">
      <c r="A1" s="5" t="s">
        <v>10</v>
      </c>
      <c r="B1" s="6" t="s">
        <v>11</v>
      </c>
      <c r="C1" s="6" t="s">
        <v>12</v>
      </c>
      <c r="D1" s="6" t="s">
        <v>13</v>
      </c>
      <c r="E1" s="6" t="s">
        <v>1</v>
      </c>
      <c r="F1" s="5" t="s">
        <v>57</v>
      </c>
      <c r="G1" s="5" t="s">
        <v>14</v>
      </c>
      <c r="H1" s="5" t="s">
        <v>15</v>
      </c>
      <c r="I1" s="7"/>
      <c r="J1" s="7"/>
      <c r="K1" s="7"/>
    </row>
    <row r="2" spans="1:11" x14ac:dyDescent="0.3">
      <c r="A2" s="4">
        <v>46023</v>
      </c>
      <c r="B2" s="1" t="s">
        <v>16</v>
      </c>
      <c r="C2" s="1" t="s">
        <v>17</v>
      </c>
      <c r="D2" s="1" t="s">
        <v>5</v>
      </c>
      <c r="E2" s="1" t="s">
        <v>0</v>
      </c>
      <c r="F2" s="3">
        <v>3</v>
      </c>
      <c r="G2" s="3">
        <v>850</v>
      </c>
      <c r="H2" s="3">
        <v>2550</v>
      </c>
      <c r="I2" s="7"/>
      <c r="J2" s="7"/>
      <c r="K2" s="7"/>
    </row>
    <row r="3" spans="1:11" x14ac:dyDescent="0.3">
      <c r="A3" s="4">
        <v>46025</v>
      </c>
      <c r="B3" s="1" t="s">
        <v>18</v>
      </c>
      <c r="C3" s="1" t="s">
        <v>17</v>
      </c>
      <c r="D3" s="1" t="s">
        <v>3</v>
      </c>
      <c r="E3" s="1" t="s">
        <v>4</v>
      </c>
      <c r="F3" s="3">
        <v>5</v>
      </c>
      <c r="G3" s="3">
        <v>450</v>
      </c>
      <c r="H3" s="3">
        <v>2250</v>
      </c>
    </row>
    <row r="4" spans="1:11" x14ac:dyDescent="0.3">
      <c r="A4" s="4">
        <v>46027</v>
      </c>
      <c r="B4" s="1" t="s">
        <v>19</v>
      </c>
      <c r="C4" s="1" t="s">
        <v>20</v>
      </c>
      <c r="D4" s="1" t="s">
        <v>2</v>
      </c>
      <c r="E4" s="1" t="s">
        <v>7</v>
      </c>
      <c r="F4" s="3">
        <v>8</v>
      </c>
      <c r="G4" s="3">
        <v>120</v>
      </c>
      <c r="H4" s="3">
        <v>960</v>
      </c>
    </row>
    <row r="5" spans="1:11" x14ac:dyDescent="0.3">
      <c r="A5" s="4">
        <v>46029</v>
      </c>
      <c r="B5" s="1" t="s">
        <v>21</v>
      </c>
      <c r="C5" s="1" t="s">
        <v>17</v>
      </c>
      <c r="D5" s="1" t="s">
        <v>6</v>
      </c>
      <c r="E5" s="1" t="s">
        <v>22</v>
      </c>
      <c r="F5" s="3">
        <v>2</v>
      </c>
      <c r="G5" s="3">
        <v>300</v>
      </c>
      <c r="H5" s="3">
        <v>600</v>
      </c>
    </row>
    <row r="6" spans="1:11" x14ac:dyDescent="0.3">
      <c r="A6" s="4">
        <v>46032</v>
      </c>
      <c r="B6" s="1" t="s">
        <v>23</v>
      </c>
      <c r="C6" s="1" t="s">
        <v>20</v>
      </c>
      <c r="D6" s="1" t="s">
        <v>8</v>
      </c>
      <c r="E6" s="1" t="s">
        <v>24</v>
      </c>
      <c r="F6" s="3">
        <v>4</v>
      </c>
      <c r="G6" s="3">
        <v>220</v>
      </c>
      <c r="H6" s="3">
        <v>880</v>
      </c>
    </row>
    <row r="7" spans="1:11" x14ac:dyDescent="0.3">
      <c r="A7" s="4">
        <v>46037</v>
      </c>
      <c r="B7" s="1" t="s">
        <v>25</v>
      </c>
      <c r="C7" s="1" t="s">
        <v>26</v>
      </c>
      <c r="D7" s="1" t="s">
        <v>9</v>
      </c>
      <c r="E7" s="1" t="s">
        <v>0</v>
      </c>
      <c r="F7" s="3">
        <v>30</v>
      </c>
      <c r="G7" s="3">
        <v>5</v>
      </c>
      <c r="H7" s="3">
        <v>150</v>
      </c>
    </row>
    <row r="8" spans="1:11" x14ac:dyDescent="0.3">
      <c r="A8" s="4">
        <v>46044</v>
      </c>
      <c r="B8" s="1" t="s">
        <v>27</v>
      </c>
      <c r="C8" s="1" t="s">
        <v>26</v>
      </c>
      <c r="D8" s="1" t="s">
        <v>5</v>
      </c>
      <c r="E8" s="1" t="s">
        <v>4</v>
      </c>
      <c r="F8" s="3">
        <v>100</v>
      </c>
      <c r="G8" s="3">
        <v>2</v>
      </c>
      <c r="H8" s="3">
        <v>200</v>
      </c>
    </row>
    <row r="9" spans="1:11" x14ac:dyDescent="0.3">
      <c r="A9" s="4">
        <v>46051</v>
      </c>
      <c r="B9" s="1" t="s">
        <v>28</v>
      </c>
      <c r="C9" s="1" t="s">
        <v>17</v>
      </c>
      <c r="D9" s="1" t="s">
        <v>3</v>
      </c>
      <c r="E9" s="1" t="s">
        <v>29</v>
      </c>
      <c r="F9" s="3">
        <v>6</v>
      </c>
      <c r="G9" s="3">
        <v>280</v>
      </c>
      <c r="H9" s="3">
        <v>1680</v>
      </c>
    </row>
    <row r="10" spans="1:11" x14ac:dyDescent="0.3">
      <c r="A10" s="4">
        <v>46057</v>
      </c>
      <c r="B10" s="1" t="s">
        <v>30</v>
      </c>
      <c r="C10" s="1" t="s">
        <v>17</v>
      </c>
      <c r="D10" s="1" t="s">
        <v>2</v>
      </c>
      <c r="E10" s="1" t="s">
        <v>0</v>
      </c>
      <c r="F10" s="3">
        <v>20</v>
      </c>
      <c r="G10" s="3">
        <v>15</v>
      </c>
      <c r="H10" s="3">
        <v>300</v>
      </c>
    </row>
    <row r="11" spans="1:11" x14ac:dyDescent="0.3">
      <c r="A11" s="4">
        <v>46064</v>
      </c>
      <c r="B11" s="1" t="s">
        <v>31</v>
      </c>
      <c r="C11" s="1" t="s">
        <v>17</v>
      </c>
      <c r="D11" s="1" t="s">
        <v>6</v>
      </c>
      <c r="E11" s="1" t="s">
        <v>7</v>
      </c>
      <c r="F11" s="3">
        <v>15</v>
      </c>
      <c r="G11" s="3">
        <v>30</v>
      </c>
      <c r="H11" s="3">
        <v>450</v>
      </c>
    </row>
    <row r="12" spans="1:11" x14ac:dyDescent="0.3">
      <c r="A12" s="4">
        <v>46071</v>
      </c>
      <c r="B12" s="1" t="s">
        <v>32</v>
      </c>
      <c r="C12" s="1" t="s">
        <v>20</v>
      </c>
      <c r="D12" s="1" t="s">
        <v>8</v>
      </c>
      <c r="E12" s="1" t="s">
        <v>4</v>
      </c>
      <c r="F12" s="3">
        <v>2</v>
      </c>
      <c r="G12" s="3">
        <v>700</v>
      </c>
      <c r="H12" s="3">
        <v>1400</v>
      </c>
    </row>
    <row r="13" spans="1:11" x14ac:dyDescent="0.3">
      <c r="A13" s="4">
        <v>46078</v>
      </c>
      <c r="B13" s="1" t="s">
        <v>33</v>
      </c>
      <c r="C13" s="1" t="s">
        <v>34</v>
      </c>
      <c r="D13" s="1" t="s">
        <v>9</v>
      </c>
      <c r="E13" s="1" t="s">
        <v>22</v>
      </c>
      <c r="F13" s="3">
        <v>5</v>
      </c>
      <c r="G13" s="3">
        <v>80</v>
      </c>
      <c r="H13" s="3">
        <v>400</v>
      </c>
    </row>
    <row r="14" spans="1:11" x14ac:dyDescent="0.3">
      <c r="A14" s="4">
        <v>46086</v>
      </c>
      <c r="B14" s="1" t="s">
        <v>35</v>
      </c>
      <c r="C14" s="1" t="s">
        <v>20</v>
      </c>
      <c r="D14" s="1" t="s">
        <v>5</v>
      </c>
      <c r="E14" s="1" t="s">
        <v>0</v>
      </c>
      <c r="F14" s="3">
        <v>4</v>
      </c>
      <c r="G14" s="3">
        <v>180</v>
      </c>
      <c r="H14" s="3">
        <v>720</v>
      </c>
    </row>
    <row r="15" spans="1:11" x14ac:dyDescent="0.3">
      <c r="A15" s="4">
        <v>46093</v>
      </c>
      <c r="B15" s="1" t="s">
        <v>36</v>
      </c>
      <c r="C15" s="1" t="s">
        <v>17</v>
      </c>
      <c r="D15" s="1" t="s">
        <v>3</v>
      </c>
      <c r="E15" s="1" t="s">
        <v>24</v>
      </c>
      <c r="F15" s="3">
        <v>3</v>
      </c>
      <c r="G15" s="3">
        <v>250</v>
      </c>
      <c r="H15" s="3">
        <v>750</v>
      </c>
    </row>
    <row r="16" spans="1:11" x14ac:dyDescent="0.3">
      <c r="A16" s="4">
        <v>46100</v>
      </c>
      <c r="B16" s="1" t="s">
        <v>37</v>
      </c>
      <c r="C16" s="1" t="s">
        <v>34</v>
      </c>
      <c r="D16" s="1" t="s">
        <v>2</v>
      </c>
      <c r="E16" s="1" t="s">
        <v>29</v>
      </c>
      <c r="F16" s="3">
        <v>40</v>
      </c>
      <c r="G16" s="3">
        <v>4</v>
      </c>
      <c r="H16" s="3">
        <v>160</v>
      </c>
    </row>
    <row r="17" spans="1:8" x14ac:dyDescent="0.3">
      <c r="A17" s="4">
        <v>46107</v>
      </c>
      <c r="B17" s="1" t="s">
        <v>38</v>
      </c>
      <c r="C17" s="1" t="s">
        <v>34</v>
      </c>
      <c r="D17" s="1" t="s">
        <v>6</v>
      </c>
      <c r="E17" s="1" t="s">
        <v>4</v>
      </c>
      <c r="F17" s="3">
        <v>10</v>
      </c>
      <c r="G17" s="3">
        <v>18</v>
      </c>
      <c r="H17" s="3">
        <v>180</v>
      </c>
    </row>
    <row r="18" spans="1:8" x14ac:dyDescent="0.3">
      <c r="A18" s="4">
        <v>46114</v>
      </c>
      <c r="B18" s="1" t="s">
        <v>39</v>
      </c>
      <c r="C18" s="1" t="s">
        <v>17</v>
      </c>
      <c r="D18" s="1" t="s">
        <v>8</v>
      </c>
      <c r="E18" s="1" t="s">
        <v>0</v>
      </c>
      <c r="F18" s="3">
        <v>8</v>
      </c>
      <c r="G18" s="3">
        <v>90</v>
      </c>
      <c r="H18" s="3">
        <v>720</v>
      </c>
    </row>
    <row r="19" spans="1:8" x14ac:dyDescent="0.3">
      <c r="A19" s="4">
        <v>46121</v>
      </c>
      <c r="B19" s="1" t="s">
        <v>40</v>
      </c>
      <c r="C19" s="1" t="s">
        <v>20</v>
      </c>
      <c r="D19" s="1" t="s">
        <v>9</v>
      </c>
      <c r="E19" s="1" t="s">
        <v>7</v>
      </c>
      <c r="F19" s="3">
        <v>3</v>
      </c>
      <c r="G19" s="3">
        <v>320</v>
      </c>
      <c r="H19" s="3">
        <v>960</v>
      </c>
    </row>
    <row r="20" spans="1:8" x14ac:dyDescent="0.3">
      <c r="A20" s="4">
        <v>46128</v>
      </c>
      <c r="B20" s="1" t="s">
        <v>41</v>
      </c>
      <c r="C20" s="1" t="s">
        <v>26</v>
      </c>
      <c r="D20" s="1" t="s">
        <v>5</v>
      </c>
      <c r="E20" s="1" t="s">
        <v>22</v>
      </c>
      <c r="F20" s="3">
        <v>50</v>
      </c>
      <c r="G20" s="3">
        <v>3</v>
      </c>
      <c r="H20" s="3">
        <v>150</v>
      </c>
    </row>
    <row r="21" spans="1:8" x14ac:dyDescent="0.3">
      <c r="A21" s="4">
        <v>46135</v>
      </c>
      <c r="B21" s="1" t="s">
        <v>42</v>
      </c>
      <c r="C21" s="1" t="s">
        <v>17</v>
      </c>
      <c r="D21" s="1" t="s">
        <v>3</v>
      </c>
      <c r="E21" s="1" t="s">
        <v>4</v>
      </c>
      <c r="F21" s="3">
        <v>6</v>
      </c>
      <c r="G21" s="3">
        <v>95</v>
      </c>
      <c r="H21" s="3">
        <v>570</v>
      </c>
    </row>
    <row r="22" spans="1:8" x14ac:dyDescent="0.3">
      <c r="A22" s="4">
        <v>46149</v>
      </c>
      <c r="B22" s="1" t="s">
        <v>43</v>
      </c>
      <c r="C22" s="1" t="s">
        <v>17</v>
      </c>
      <c r="D22" s="1" t="s">
        <v>2</v>
      </c>
      <c r="E22" s="1" t="s">
        <v>0</v>
      </c>
      <c r="F22" s="3">
        <v>4</v>
      </c>
      <c r="G22" s="3">
        <v>500</v>
      </c>
      <c r="H22" s="3">
        <v>2000</v>
      </c>
    </row>
    <row r="23" spans="1:8" x14ac:dyDescent="0.3">
      <c r="A23" s="4">
        <v>46163</v>
      </c>
      <c r="B23" s="1" t="s">
        <v>44</v>
      </c>
      <c r="C23" s="1" t="s">
        <v>20</v>
      </c>
      <c r="D23" s="1" t="s">
        <v>6</v>
      </c>
      <c r="E23" s="1" t="s">
        <v>24</v>
      </c>
      <c r="F23" s="3">
        <v>7</v>
      </c>
      <c r="G23" s="3">
        <v>160</v>
      </c>
      <c r="H23" s="3">
        <v>1120</v>
      </c>
    </row>
    <row r="24" spans="1:8" x14ac:dyDescent="0.3">
      <c r="A24" s="4">
        <v>46177</v>
      </c>
      <c r="B24" s="1" t="s">
        <v>45</v>
      </c>
      <c r="C24" s="1" t="s">
        <v>17</v>
      </c>
      <c r="D24" s="1" t="s">
        <v>8</v>
      </c>
      <c r="E24" s="1" t="s">
        <v>29</v>
      </c>
      <c r="F24" s="3">
        <v>25</v>
      </c>
      <c r="G24" s="3">
        <v>20</v>
      </c>
      <c r="H24" s="3">
        <v>500</v>
      </c>
    </row>
    <row r="25" spans="1:8" x14ac:dyDescent="0.3">
      <c r="A25" s="4">
        <v>46191</v>
      </c>
      <c r="B25" s="1" t="s">
        <v>25</v>
      </c>
      <c r="C25" s="1" t="s">
        <v>26</v>
      </c>
      <c r="D25" s="1" t="s">
        <v>9</v>
      </c>
      <c r="E25" s="1" t="s">
        <v>4</v>
      </c>
      <c r="F25" s="3">
        <v>45</v>
      </c>
      <c r="G25" s="3">
        <v>6</v>
      </c>
      <c r="H25" s="3">
        <v>270</v>
      </c>
    </row>
    <row r="26" spans="1:8" x14ac:dyDescent="0.3">
      <c r="A26" s="4">
        <v>46205</v>
      </c>
      <c r="B26" s="1" t="s">
        <v>46</v>
      </c>
      <c r="C26" s="1" t="s">
        <v>34</v>
      </c>
      <c r="D26" s="1" t="s">
        <v>5</v>
      </c>
      <c r="E26" s="1" t="s">
        <v>0</v>
      </c>
      <c r="F26" s="3">
        <v>12</v>
      </c>
      <c r="G26" s="3">
        <v>35</v>
      </c>
      <c r="H26" s="3">
        <v>420</v>
      </c>
    </row>
    <row r="27" spans="1:8" x14ac:dyDescent="0.3">
      <c r="A27" s="4">
        <v>46219</v>
      </c>
      <c r="B27" s="1" t="s">
        <v>47</v>
      </c>
      <c r="C27" s="1" t="s">
        <v>17</v>
      </c>
      <c r="D27" s="1" t="s">
        <v>3</v>
      </c>
      <c r="E27" s="1" t="s">
        <v>7</v>
      </c>
      <c r="F27" s="3">
        <v>9</v>
      </c>
      <c r="G27" s="3">
        <v>85</v>
      </c>
      <c r="H27" s="3">
        <v>765</v>
      </c>
    </row>
    <row r="28" spans="1:8" x14ac:dyDescent="0.3">
      <c r="A28" s="4">
        <v>46233</v>
      </c>
      <c r="B28" s="1" t="s">
        <v>48</v>
      </c>
      <c r="C28" s="1" t="s">
        <v>20</v>
      </c>
      <c r="D28" s="1" t="s">
        <v>2</v>
      </c>
      <c r="E28" s="1" t="s">
        <v>22</v>
      </c>
      <c r="F28" s="3">
        <v>10</v>
      </c>
      <c r="G28" s="3">
        <v>45</v>
      </c>
      <c r="H28" s="3">
        <v>450</v>
      </c>
    </row>
    <row r="29" spans="1:8" x14ac:dyDescent="0.3">
      <c r="A29" s="4">
        <v>46247</v>
      </c>
      <c r="B29" s="1" t="s">
        <v>49</v>
      </c>
      <c r="C29" s="1" t="s">
        <v>17</v>
      </c>
      <c r="D29" s="1" t="s">
        <v>6</v>
      </c>
      <c r="E29" s="1" t="s">
        <v>0</v>
      </c>
      <c r="F29" s="3">
        <v>30</v>
      </c>
      <c r="G29" s="3">
        <v>8</v>
      </c>
      <c r="H29" s="3">
        <v>240</v>
      </c>
    </row>
    <row r="30" spans="1:8" x14ac:dyDescent="0.3">
      <c r="A30" s="4">
        <v>46261</v>
      </c>
      <c r="B30" s="1" t="s">
        <v>50</v>
      </c>
      <c r="C30" s="1" t="s">
        <v>20</v>
      </c>
      <c r="D30" s="1" t="s">
        <v>8</v>
      </c>
      <c r="E30" s="1" t="s">
        <v>4</v>
      </c>
      <c r="F30" s="3">
        <v>5</v>
      </c>
      <c r="G30" s="3">
        <v>260</v>
      </c>
      <c r="H30" s="3">
        <v>1300</v>
      </c>
    </row>
    <row r="31" spans="1:8" x14ac:dyDescent="0.3">
      <c r="A31" s="4">
        <v>46275</v>
      </c>
      <c r="B31" s="1" t="s">
        <v>51</v>
      </c>
      <c r="C31" s="1" t="s">
        <v>26</v>
      </c>
      <c r="D31" s="1" t="s">
        <v>9</v>
      </c>
      <c r="E31" s="1" t="s">
        <v>24</v>
      </c>
      <c r="F31" s="3">
        <v>60</v>
      </c>
      <c r="G31" s="3">
        <v>2</v>
      </c>
      <c r="H31" s="3">
        <v>120</v>
      </c>
    </row>
    <row r="32" spans="1:8" x14ac:dyDescent="0.3">
      <c r="A32" s="4">
        <v>46289</v>
      </c>
      <c r="B32" s="1" t="s">
        <v>52</v>
      </c>
      <c r="C32" s="1" t="s">
        <v>17</v>
      </c>
      <c r="D32" s="1" t="s">
        <v>5</v>
      </c>
      <c r="E32" s="1" t="s">
        <v>7</v>
      </c>
      <c r="F32" s="3">
        <v>2</v>
      </c>
      <c r="G32" s="3">
        <v>700</v>
      </c>
      <c r="H32" s="3">
        <v>1400</v>
      </c>
    </row>
    <row r="33" spans="1:8" x14ac:dyDescent="0.3">
      <c r="A33" s="4">
        <v>46303</v>
      </c>
      <c r="B33" s="1" t="s">
        <v>36</v>
      </c>
      <c r="C33" s="1" t="s">
        <v>17</v>
      </c>
      <c r="D33" s="1" t="s">
        <v>3</v>
      </c>
      <c r="E33" s="1" t="s">
        <v>0</v>
      </c>
      <c r="F33" s="3">
        <v>4</v>
      </c>
      <c r="G33" s="3">
        <v>260</v>
      </c>
      <c r="H33" s="3">
        <v>1040</v>
      </c>
    </row>
    <row r="34" spans="1:8" x14ac:dyDescent="0.3">
      <c r="A34" s="4">
        <v>46317</v>
      </c>
      <c r="B34" s="1" t="s">
        <v>23</v>
      </c>
      <c r="C34" s="1" t="s">
        <v>20</v>
      </c>
      <c r="D34" s="1" t="s">
        <v>2</v>
      </c>
      <c r="E34" s="1" t="s">
        <v>4</v>
      </c>
      <c r="F34" s="3">
        <v>6</v>
      </c>
      <c r="G34" s="3">
        <v>210</v>
      </c>
      <c r="H34" s="3">
        <v>1260</v>
      </c>
    </row>
    <row r="35" spans="1:8" x14ac:dyDescent="0.3">
      <c r="A35" s="4">
        <v>46331</v>
      </c>
      <c r="B35" s="1" t="s">
        <v>53</v>
      </c>
      <c r="C35" s="1" t="s">
        <v>26</v>
      </c>
      <c r="D35" s="1" t="s">
        <v>6</v>
      </c>
      <c r="E35" s="1" t="s">
        <v>22</v>
      </c>
      <c r="F35" s="3">
        <v>40</v>
      </c>
      <c r="G35" s="3">
        <v>5</v>
      </c>
      <c r="H35" s="3">
        <v>200</v>
      </c>
    </row>
    <row r="36" spans="1:8" x14ac:dyDescent="0.3">
      <c r="A36" s="4">
        <v>46345</v>
      </c>
      <c r="B36" s="1" t="s">
        <v>54</v>
      </c>
      <c r="C36" s="1" t="s">
        <v>17</v>
      </c>
      <c r="D36" s="1" t="s">
        <v>8</v>
      </c>
      <c r="E36" s="1" t="s">
        <v>0</v>
      </c>
      <c r="F36" s="3">
        <v>7</v>
      </c>
      <c r="G36" s="3">
        <v>140</v>
      </c>
      <c r="H36" s="3">
        <v>980</v>
      </c>
    </row>
    <row r="37" spans="1:8" x14ac:dyDescent="0.3">
      <c r="A37" s="4">
        <v>46359</v>
      </c>
      <c r="B37" s="1" t="s">
        <v>16</v>
      </c>
      <c r="C37" s="1" t="s">
        <v>17</v>
      </c>
      <c r="D37" s="1" t="s">
        <v>9</v>
      </c>
      <c r="E37" s="1" t="s">
        <v>4</v>
      </c>
      <c r="F37" s="3">
        <v>3</v>
      </c>
      <c r="G37" s="3">
        <v>900</v>
      </c>
      <c r="H37" s="3">
        <v>2700</v>
      </c>
    </row>
    <row r="38" spans="1:8" x14ac:dyDescent="0.3">
      <c r="A38" s="4">
        <v>46366</v>
      </c>
      <c r="B38" s="1" t="s">
        <v>19</v>
      </c>
      <c r="C38" s="1" t="s">
        <v>20</v>
      </c>
      <c r="D38" s="1" t="s">
        <v>5</v>
      </c>
      <c r="E38" s="1" t="s">
        <v>7</v>
      </c>
      <c r="F38" s="3">
        <v>12</v>
      </c>
      <c r="G38" s="3">
        <v>110</v>
      </c>
      <c r="H38" s="3">
        <v>1320</v>
      </c>
    </row>
    <row r="39" spans="1:8" x14ac:dyDescent="0.3">
      <c r="A39" s="4">
        <v>46373</v>
      </c>
      <c r="B39" s="1" t="s">
        <v>55</v>
      </c>
      <c r="C39" s="1" t="s">
        <v>26</v>
      </c>
      <c r="D39" s="1" t="s">
        <v>3</v>
      </c>
      <c r="E39" s="1" t="s">
        <v>0</v>
      </c>
      <c r="F39" s="3">
        <v>35</v>
      </c>
      <c r="G39" s="3">
        <v>7</v>
      </c>
      <c r="H39" s="3">
        <v>245</v>
      </c>
    </row>
    <row r="40" spans="1:8" x14ac:dyDescent="0.3">
      <c r="A40" s="4">
        <v>46380</v>
      </c>
      <c r="B40" s="1" t="s">
        <v>28</v>
      </c>
      <c r="C40" s="1" t="s">
        <v>17</v>
      </c>
      <c r="D40" s="1" t="s">
        <v>2</v>
      </c>
      <c r="E40" s="1" t="s">
        <v>24</v>
      </c>
      <c r="F40" s="3">
        <v>5</v>
      </c>
      <c r="G40" s="3">
        <v>290</v>
      </c>
      <c r="H40" s="3">
        <v>1450</v>
      </c>
    </row>
    <row r="41" spans="1:8" x14ac:dyDescent="0.3">
      <c r="A41" s="4">
        <v>46387</v>
      </c>
      <c r="B41" s="1" t="s">
        <v>56</v>
      </c>
      <c r="C41" s="1" t="s">
        <v>20</v>
      </c>
      <c r="D41" s="1" t="s">
        <v>6</v>
      </c>
      <c r="E41" s="1" t="s">
        <v>29</v>
      </c>
      <c r="F41" s="3">
        <v>4</v>
      </c>
      <c r="G41" s="3">
        <v>280</v>
      </c>
      <c r="H41" s="3">
        <v>1120</v>
      </c>
    </row>
  </sheetData>
  <sortState xmlns:xlrd2="http://schemas.microsoft.com/office/spreadsheetml/2017/richdata2" ref="A2:C7">
    <sortCondition descending="1" ref="C2:C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source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23-NTU-CS-FL-1045</dc:creator>
  <cp:lastModifiedBy>23-NTU-CS-FL-1045</cp:lastModifiedBy>
  <dcterms:created xsi:type="dcterms:W3CDTF">2026-07-21T15:56:30Z</dcterms:created>
  <dcterms:modified xsi:type="dcterms:W3CDTF">2026-07-28T12:44:55Z</dcterms:modified>
</cp:coreProperties>
</file>